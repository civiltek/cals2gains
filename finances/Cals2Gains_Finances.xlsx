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Judit\Documents\Cals2Gains\finances\"/>
    </mc:Choice>
  </mc:AlternateContent>
  <xr:revisionPtr revIDLastSave="0" documentId="13_ncr:1_{477A0307-AAB0-4B8F-B495-35AD85C11C8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Gastos" sheetId="1" r:id="rId1"/>
    <sheet name="Resumen Mensual" sheetId="2" r:id="rId2"/>
    <sheet name="Suscripciones" sheetId="3" r:id="rId3"/>
    <sheet name="Publicidad" sheetId="4" r:id="rId4"/>
    <sheet name="Ingresos" sheetId="5" r:id="rId5"/>
    <sheet name="P&amp;L" sheetId="6" r:id="rId6"/>
    <sheet name="Métricas vs Gasto" sheetId="7" r:id="rId7"/>
    <sheet name="Dashboard" sheetId="8" r:id="rId8"/>
  </sheets>
  <definedNames>
    <definedName name="_xlnm._FilterDatabase" localSheetId="0" hidden="1">Gastos!$A$1:$J$4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B11" i="2"/>
  <c r="H2" i="2"/>
  <c r="C4" i="8" s="1"/>
  <c r="B9" i="8"/>
  <c r="B8" i="8"/>
  <c r="B7" i="8"/>
  <c r="F10" i="7"/>
  <c r="D10" i="7"/>
  <c r="F9" i="7"/>
  <c r="D9" i="7"/>
  <c r="F8" i="7"/>
  <c r="D8" i="7"/>
  <c r="F7" i="7"/>
  <c r="D7" i="7"/>
  <c r="F6" i="7"/>
  <c r="D6" i="7"/>
  <c r="F5" i="7"/>
  <c r="D5" i="7"/>
  <c r="F4" i="7"/>
  <c r="D4" i="7"/>
  <c r="F3" i="7"/>
  <c r="D3" i="7"/>
  <c r="F2" i="7"/>
  <c r="D2" i="7"/>
  <c r="C7" i="3"/>
  <c r="D6" i="3"/>
  <c r="D5" i="3"/>
  <c r="D3" i="3"/>
  <c r="D2" i="3"/>
  <c r="H10" i="2"/>
  <c r="H9" i="2"/>
  <c r="H8" i="2"/>
  <c r="H7" i="2"/>
  <c r="H6" i="2"/>
  <c r="H5" i="2"/>
  <c r="H4" i="2"/>
  <c r="H3" i="2"/>
  <c r="A4" i="8" l="1"/>
</calcChain>
</file>

<file path=xl/sharedStrings.xml><?xml version="1.0" encoding="utf-8"?>
<sst xmlns="http://schemas.openxmlformats.org/spreadsheetml/2006/main" count="214" uniqueCount="128">
  <si>
    <t>Fecha</t>
  </si>
  <si>
    <t>Proveedor</t>
  </si>
  <si>
    <t>Concepto</t>
  </si>
  <si>
    <t>Categoría</t>
  </si>
  <si>
    <t>Importe (EUR)</t>
  </si>
  <si>
    <t>Importe original</t>
  </si>
  <si>
    <t>Moneda</t>
  </si>
  <si>
    <t>Recurrente?</t>
  </si>
  <si>
    <t>Cuenta email</t>
  </si>
  <si>
    <t>Recibo</t>
  </si>
  <si>
    <t>Google</t>
  </si>
  <si>
    <t>Play Console - Developer Registration Fee</t>
  </si>
  <si>
    <t>App Stores</t>
  </si>
  <si>
    <t>USD</t>
  </si>
  <si>
    <t>No</t>
  </si>
  <si>
    <t>cals2gains@gmail.com</t>
  </si>
  <si>
    <t>PDS.9797-3611-4976-86649</t>
  </si>
  <si>
    <t>Apple</t>
  </si>
  <si>
    <t>iCloud+ 2TB (Mensual)</t>
  </si>
  <si>
    <t>IA/Suscripciones</t>
  </si>
  <si>
    <t>EUR</t>
  </si>
  <si>
    <t>Sí</t>
  </si>
  <si>
    <t>judith.cordobes@gmail.com</t>
  </si>
  <si>
    <t>Seq: 1-13376832551</t>
  </si>
  <si>
    <t>Apple/Meta</t>
  </si>
  <si>
    <t>Meta Verified For Business (Instagram)</t>
  </si>
  <si>
    <t>Publicidad</t>
  </si>
  <si>
    <t>Seq: 1-13389522137</t>
  </si>
  <si>
    <t>Mes</t>
  </si>
  <si>
    <t>Hosting/Dominio</t>
  </si>
  <si>
    <t>Herramientas</t>
  </si>
  <si>
    <t>Otros</t>
  </si>
  <si>
    <t>TOTAL MES</t>
  </si>
  <si>
    <t>Abril 2026</t>
  </si>
  <si>
    <t>Mayo 2026</t>
  </si>
  <si>
    <t>Junio 2026</t>
  </si>
  <si>
    <t>Julio 2026</t>
  </si>
  <si>
    <t>Agosto 2026</t>
  </si>
  <si>
    <t>Septiembre 2026</t>
  </si>
  <si>
    <t>Octubre 2026</t>
  </si>
  <si>
    <t>Noviembre 2026</t>
  </si>
  <si>
    <t>Diciembre 2026</t>
  </si>
  <si>
    <t>TOTAL ACUMULADO</t>
  </si>
  <si>
    <t>Servicio</t>
  </si>
  <si>
    <t>Plan</t>
  </si>
  <si>
    <t>Coste mensual (EUR)</t>
  </si>
  <si>
    <t>Coste anual (EUR)</t>
  </si>
  <si>
    <t>Fecha inicio</t>
  </si>
  <si>
    <t>Próximo cobro</t>
  </si>
  <si>
    <t>Estado</t>
  </si>
  <si>
    <t>Cuenta</t>
  </si>
  <si>
    <t>iCloud+</t>
  </si>
  <si>
    <t>2 TB Mensual</t>
  </si>
  <si>
    <t>Activa</t>
  </si>
  <si>
    <t>Meta Verified For Business</t>
  </si>
  <si>
    <t>Instagram (Mensual)</t>
  </si>
  <si>
    <t>Claude (Anthropic)</t>
  </si>
  <si>
    <t>Por confirmar</t>
  </si>
  <si>
    <t>info@civiltek.es</t>
  </si>
  <si>
    <t>ChatGPT (OpenAI)</t>
  </si>
  <si>
    <t>Plus (estimado)</t>
  </si>
  <si>
    <t>—</t>
  </si>
  <si>
    <t>Google Workspace</t>
  </si>
  <si>
    <t>Business Starter</t>
  </si>
  <si>
    <t>Apple Developer Program</t>
  </si>
  <si>
    <t>Anual</t>
  </si>
  <si>
    <t>Expo (EAS)</t>
  </si>
  <si>
    <t>Free / Production</t>
  </si>
  <si>
    <t>Dominio (Doominio)</t>
  </si>
  <si>
    <t>cals2gains.com</t>
  </si>
  <si>
    <t>Plataforma</t>
  </si>
  <si>
    <t>Campaña</t>
  </si>
  <si>
    <t>Gasto (EUR)</t>
  </si>
  <si>
    <t>Impresiones</t>
  </si>
  <si>
    <t>Clicks</t>
  </si>
  <si>
    <t>Conversiones</t>
  </si>
  <si>
    <t>CPA (EUR)</t>
  </si>
  <si>
    <t>ROAS</t>
  </si>
  <si>
    <t>(datos cuando lancemos campañas)</t>
  </si>
  <si>
    <t>Importe bruto (EUR)</t>
  </si>
  <si>
    <t>Comisión store (EUR)</t>
  </si>
  <si>
    <t>Impuestos (EUR)</t>
  </si>
  <si>
    <t>Neto (EUR)</t>
  </si>
  <si>
    <t>(datos cuando la app genere ingresos)</t>
  </si>
  <si>
    <t>INGRESOS</t>
  </si>
  <si>
    <t>Suscripciones App</t>
  </si>
  <si>
    <t>In-App Purchases</t>
  </si>
  <si>
    <t>Publicidad in-app</t>
  </si>
  <si>
    <t>Total Ingresos</t>
  </si>
  <si>
    <t>GASTOS</t>
  </si>
  <si>
    <t>Total Gastos</t>
  </si>
  <si>
    <t>RESULTADO NETO</t>
  </si>
  <si>
    <t>Margen (%)</t>
  </si>
  <si>
    <t>Burn Rate (EUR/mes)</t>
  </si>
  <si>
    <t>Gasto publicidad (EUR)</t>
  </si>
  <si>
    <t>Nuevos usuarios</t>
  </si>
  <si>
    <t>CAC (EUR)</t>
  </si>
  <si>
    <t>LTV estimado (EUR)</t>
  </si>
  <si>
    <t>ROI (%)</t>
  </si>
  <si>
    <t>CALS2GAINS — Dashboard Financiero</t>
  </si>
  <si>
    <t>Gasto Total Acumulado</t>
  </si>
  <si>
    <t>Burn Rate Mensual</t>
  </si>
  <si>
    <t>Suscripciones Activas</t>
  </si>
  <si>
    <t>Ingresos Totales</t>
  </si>
  <si>
    <t>Gasto Abril (EUR)</t>
  </si>
  <si>
    <t>Team</t>
  </si>
  <si>
    <t>Anthropic</t>
  </si>
  <si>
    <t>Claude Team</t>
  </si>
  <si>
    <t>Si</t>
  </si>
  <si>
    <t>Invoice-5RBPQUSE-0003</t>
  </si>
  <si>
    <t>OpenAI</t>
  </si>
  <si>
    <t>API Credits Pay-as-you-go</t>
  </si>
  <si>
    <t>Invoice 872130F5-0003</t>
  </si>
  <si>
    <t>Invoice-5RBPQUSE-0004</t>
  </si>
  <si>
    <t>API activa pay-as-you-go</t>
  </si>
  <si>
    <t>13/04/2026</t>
  </si>
  <si>
    <t>Prepaid extra usage, Individual plan</t>
  </si>
  <si>
    <t>Receipt-2466-5491-6579</t>
  </si>
  <si>
    <t>14/04/2026</t>
  </si>
  <si>
    <t>ElevenLabs</t>
  </si>
  <si>
    <t>Creator subscription (50% descuento 1er mes)</t>
  </si>
  <si>
    <t>OY9NEJ2T-0001</t>
  </si>
  <si>
    <t>15/04/2026</t>
  </si>
  <si>
    <t>Receipt-2771-7868-1788 / Invoice-5RBPQUSE-0006</t>
  </si>
  <si>
    <t>Creator (1er mes 50% off)</t>
  </si>
  <si>
    <t>14/05/2026</t>
  </si>
  <si>
    <t>Activa (enrollment 14/04/2026)</t>
  </si>
  <si>
    <t>14/04/2027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</si>
</sst>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\€"/>
    <numFmt numFmtId="165" formatCode="0.0%"/>
    <numFmt numFmtId="166" formatCode="dd/mm/\y\y\y\y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0000FF"/>
      <name val="Arial"/>
    </font>
    <font>
      <b/>
      <sz val="10"/>
      <color rgb="FF1B2A4A"/>
      <name val="Arial"/>
    </font>
    <font>
      <sz val="10"/>
      <color rgb="FF000000"/>
      <name val="Arial"/>
    </font>
    <font>
      <i/>
      <sz val="10"/>
      <color rgb="FF808080"/>
      <name val="Arial"/>
    </font>
    <font>
      <b/>
      <sz val="16"/>
      <color rgb="FF1B2A4A"/>
      <name val="Arial"/>
    </font>
    <font>
      <sz val="9"/>
      <color rgb="FF666666"/>
      <name val="Arial"/>
    </font>
    <font>
      <b/>
      <sz val="14"/>
      <color rgb="FF1B2A4A"/>
      <name val="Arial"/>
    </font>
  </fonts>
  <fills count="4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0" fontId="3" fillId="0" borderId="0" xfId="0" applyFont="1"/>
    <xf numFmtId="164" fontId="3" fillId="3" borderId="0" xfId="0" applyNumberFormat="1" applyFont="1" applyFill="1"/>
    <xf numFmtId="0" fontId="4" fillId="0" borderId="1" xfId="0" applyFont="1" applyBorder="1"/>
    <xf numFmtId="164" fontId="2" fillId="0" borderId="1" xfId="0" applyNumberFormat="1" applyFont="1" applyBorder="1"/>
    <xf numFmtId="164" fontId="4" fillId="0" borderId="1" xfId="0" applyNumberFormat="1" applyFont="1" applyBorder="1"/>
    <xf numFmtId="0" fontId="3" fillId="3" borderId="0" xfId="0" applyFont="1" applyFill="1"/>
    <xf numFmtId="164" fontId="3" fillId="3" borderId="1" xfId="0" applyNumberFormat="1" applyFont="1" applyFill="1" applyBorder="1"/>
    <xf numFmtId="14" fontId="4" fillId="0" borderId="1" xfId="0" applyNumberFormat="1" applyFont="1" applyBorder="1"/>
    <xf numFmtId="0" fontId="3" fillId="0" borderId="1" xfId="0" applyFont="1" applyBorder="1"/>
    <xf numFmtId="0" fontId="3" fillId="3" borderId="1" xfId="0" applyFont="1" applyFill="1" applyBorder="1"/>
    <xf numFmtId="165" fontId="4" fillId="0" borderId="1" xfId="0" applyNumberFormat="1" applyFont="1" applyBorder="1"/>
    <xf numFmtId="0" fontId="4" fillId="0" borderId="0" xfId="0" applyFont="1"/>
    <xf numFmtId="164" fontId="4" fillId="0" borderId="0" xfId="0" applyNumberFormat="1" applyFont="1"/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4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4" fillId="0" borderId="1" xfId="0" applyNumberFormat="1" applyFont="1" applyBorder="1"/>
    <xf numFmtId="0" fontId="5" fillId="0" borderId="0" xfId="0" applyFont="1"/>
    <xf numFmtId="0" fontId="0" fillId="0" borderId="0" xfId="0"/>
    <xf numFmtId="16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ES_tradnl"/>
              <a:t>Distribución de Gasto - Abril 2026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Dashboard!$B$6</c:f>
              <c:strCache>
                <c:ptCount val="1"/>
                <c:pt idx="0">
                  <c:v>Gasto Abril (EUR)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Dashboard!$A$7:$A$12</c:f>
              <c:strCache>
                <c:ptCount val="6"/>
                <c:pt idx="0">
                  <c:v>IA/Suscripciones</c:v>
                </c:pt>
                <c:pt idx="1">
                  <c:v>App Stores</c:v>
                </c:pt>
                <c:pt idx="2">
                  <c:v>Publicidad</c:v>
                </c:pt>
                <c:pt idx="3">
                  <c:v>Hosting/Dominio</c:v>
                </c:pt>
                <c:pt idx="4">
                  <c:v>Herramientas</c:v>
                </c:pt>
                <c:pt idx="5">
                  <c:v>Otros</c:v>
                </c:pt>
              </c:strCache>
            </c:strRef>
          </c:cat>
          <c:val>
            <c:numRef>
              <c:f>Dashboard!$B$7:$B$12</c:f>
              <c:numCache>
                <c:formatCode>#,##0.00\ \€</c:formatCode>
                <c:ptCount val="6"/>
                <c:pt idx="0">
                  <c:v>1057.0899999999999</c:v>
                </c:pt>
                <c:pt idx="1">
                  <c:v>23</c:v>
                </c:pt>
                <c:pt idx="2">
                  <c:v>16.989999999999998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A-418C-B510-4F839E81C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ES_tradnl"/>
              <a:t>Gasto Mensual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'Resumen Mensual'!$H$1</c:f>
              <c:strCache>
                <c:ptCount val="1"/>
                <c:pt idx="0">
                  <c:v>TOTAL MES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'Resumen Mensual'!$A$2:$A$10</c:f>
              <c:strCache>
                <c:ptCount val="9"/>
                <c:pt idx="0">
                  <c:v>Abril 2026</c:v>
                </c:pt>
                <c:pt idx="1">
                  <c:v>Mayo 2026</c:v>
                </c:pt>
                <c:pt idx="2">
                  <c:v>Junio 2026</c:v>
                </c:pt>
                <c:pt idx="3">
                  <c:v>Julio 2026</c:v>
                </c:pt>
                <c:pt idx="4">
                  <c:v>Agosto 2026</c:v>
                </c:pt>
                <c:pt idx="5">
                  <c:v>Septiembre 2026</c:v>
                </c:pt>
                <c:pt idx="6">
                  <c:v>Octubre 2026</c:v>
                </c:pt>
                <c:pt idx="7">
                  <c:v>Noviembre 2026</c:v>
                </c:pt>
                <c:pt idx="8">
                  <c:v>Diciembre 2026</c:v>
                </c:pt>
              </c:strCache>
            </c:strRef>
          </c:cat>
          <c:val>
            <c:numRef>
              <c:f>'Resumen Mensual'!$H$2:$H$10</c:f>
              <c:numCache>
                <c:formatCode>#,##0.00\ \€</c:formatCode>
                <c:ptCount val="9"/>
                <c:pt idx="0">
                  <c:v>1097.08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2-400C-97B7-642916930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_tradnl"/>
                  <a:t>EUR</a:t>
                </a:r>
              </a:p>
            </c:rich>
          </c:tx>
          <c:overlay val="1"/>
        </c:title>
        <c:numFmt formatCode="#,##0.00\ \€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29</xdr:row>
      <xdr:rowOff>0</xdr:rowOff>
    </xdr:from>
    <xdr:ext cx="792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J11"/>
  <sheetViews>
    <sheetView tabSelected="1" workbookViewId="0">
      <selection activeCell="A8" sqref="A8:XFD8"/>
    </sheetView>
  </sheetViews>
  <sheetFormatPr baseColWidth="10" defaultColWidth="8.7265625" defaultRowHeight="14.5" x14ac:dyDescent="0.35"/>
  <cols>
    <col min="1" max="2" width="14" customWidth="1"/>
    <col min="3" max="3" width="42" customWidth="1"/>
    <col min="4" max="4" width="14" customWidth="1"/>
    <col min="5" max="5" width="17" customWidth="1"/>
    <col min="6" max="6" width="20" customWidth="1"/>
    <col min="7" max="7" width="14" customWidth="1"/>
    <col min="8" max="8" width="15" customWidth="1"/>
    <col min="9" max="9" width="16" customWidth="1"/>
    <col min="10" max="10" width="2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46121</v>
      </c>
      <c r="B2" s="3" t="s">
        <v>10</v>
      </c>
      <c r="C2" s="3" t="s">
        <v>11</v>
      </c>
      <c r="D2" s="3" t="s">
        <v>12</v>
      </c>
      <c r="E2" s="4">
        <v>23</v>
      </c>
      <c r="F2" s="5">
        <v>25</v>
      </c>
      <c r="G2" s="3" t="s">
        <v>13</v>
      </c>
      <c r="H2" s="3" t="s">
        <v>14</v>
      </c>
      <c r="I2" s="3" t="s">
        <v>15</v>
      </c>
      <c r="J2" s="3" t="s">
        <v>16</v>
      </c>
    </row>
    <row r="3" spans="1:10" x14ac:dyDescent="0.35">
      <c r="A3" s="2">
        <v>46122</v>
      </c>
      <c r="B3" s="3" t="s">
        <v>17</v>
      </c>
      <c r="C3" s="3" t="s">
        <v>18</v>
      </c>
      <c r="D3" s="3" t="s">
        <v>19</v>
      </c>
      <c r="E3" s="4">
        <v>9.99</v>
      </c>
      <c r="F3" s="5">
        <v>9.99</v>
      </c>
      <c r="G3" s="3" t="s">
        <v>20</v>
      </c>
      <c r="H3" s="3" t="s">
        <v>21</v>
      </c>
      <c r="I3" s="3" t="s">
        <v>22</v>
      </c>
      <c r="J3" s="3" t="s">
        <v>23</v>
      </c>
    </row>
    <row r="4" spans="1:10" x14ac:dyDescent="0.35">
      <c r="A4" s="2">
        <v>46125</v>
      </c>
      <c r="B4" s="3" t="s">
        <v>24</v>
      </c>
      <c r="C4" s="3" t="s">
        <v>25</v>
      </c>
      <c r="D4" s="3" t="s">
        <v>26</v>
      </c>
      <c r="E4" s="4">
        <v>16.989999999999998</v>
      </c>
      <c r="F4" s="5">
        <v>16.989999999999998</v>
      </c>
      <c r="G4" s="3" t="s">
        <v>20</v>
      </c>
      <c r="H4" s="3" t="s">
        <v>21</v>
      </c>
      <c r="I4" s="3" t="s">
        <v>22</v>
      </c>
      <c r="J4" s="3" t="s">
        <v>27</v>
      </c>
    </row>
    <row r="5" spans="1:10" x14ac:dyDescent="0.35">
      <c r="A5" s="22">
        <v>46121</v>
      </c>
      <c r="B5" s="19" t="s">
        <v>106</v>
      </c>
      <c r="C5" s="19" t="s">
        <v>107</v>
      </c>
      <c r="D5" s="19" t="s">
        <v>19</v>
      </c>
      <c r="E5" s="20">
        <v>170.78</v>
      </c>
      <c r="F5" s="21">
        <v>170.78</v>
      </c>
      <c r="G5" s="19" t="s">
        <v>20</v>
      </c>
      <c r="H5" s="19" t="s">
        <v>108</v>
      </c>
      <c r="I5" s="19" t="s">
        <v>58</v>
      </c>
      <c r="J5" s="19" t="s">
        <v>109</v>
      </c>
    </row>
    <row r="6" spans="1:10" x14ac:dyDescent="0.35">
      <c r="A6" s="22">
        <v>46122</v>
      </c>
      <c r="B6" s="19" t="s">
        <v>110</v>
      </c>
      <c r="C6" s="19" t="s">
        <v>111</v>
      </c>
      <c r="D6" s="19" t="s">
        <v>19</v>
      </c>
      <c r="E6" s="20">
        <v>111.32</v>
      </c>
      <c r="F6" s="21">
        <v>121</v>
      </c>
      <c r="G6" s="19" t="s">
        <v>13</v>
      </c>
      <c r="H6" s="19" t="s">
        <v>14</v>
      </c>
      <c r="I6" s="19" t="s">
        <v>58</v>
      </c>
      <c r="J6" s="19" t="s">
        <v>112</v>
      </c>
    </row>
    <row r="7" spans="1:10" x14ac:dyDescent="0.35">
      <c r="A7" s="22">
        <v>46125</v>
      </c>
      <c r="B7" s="19" t="s">
        <v>106</v>
      </c>
      <c r="C7" s="19" t="s">
        <v>107</v>
      </c>
      <c r="D7" s="19" t="s">
        <v>19</v>
      </c>
      <c r="E7" s="20">
        <v>170</v>
      </c>
      <c r="F7" s="21">
        <v>170</v>
      </c>
      <c r="G7" s="19" t="s">
        <v>20</v>
      </c>
      <c r="H7" s="19" t="s">
        <v>108</v>
      </c>
      <c r="I7" s="19" t="s">
        <v>58</v>
      </c>
      <c r="J7" s="19" t="s">
        <v>113</v>
      </c>
    </row>
    <row r="8" spans="1:10" x14ac:dyDescent="0.35">
      <c r="A8" s="22" t="s">
        <v>115</v>
      </c>
      <c r="B8" s="19" t="s">
        <v>106</v>
      </c>
      <c r="C8" s="19" t="s">
        <v>116</v>
      </c>
      <c r="D8" s="19" t="s">
        <v>19</v>
      </c>
      <c r="E8" s="20">
        <v>595</v>
      </c>
      <c r="F8" s="21">
        <v>595</v>
      </c>
      <c r="G8" s="19" t="s">
        <v>20</v>
      </c>
      <c r="H8" s="19" t="s">
        <v>14</v>
      </c>
      <c r="I8" s="19" t="s">
        <v>58</v>
      </c>
      <c r="J8" s="19" t="s">
        <v>117</v>
      </c>
    </row>
    <row r="9" spans="1:10" x14ac:dyDescent="0.35">
      <c r="A9" t="s">
        <v>118</v>
      </c>
      <c r="B9" t="s">
        <v>119</v>
      </c>
      <c r="C9" t="s">
        <v>120</v>
      </c>
      <c r="D9" s="6" t="s">
        <v>19</v>
      </c>
      <c r="E9" s="7">
        <v>12.25</v>
      </c>
      <c r="F9">
        <v>13.31</v>
      </c>
      <c r="G9" t="s">
        <v>13</v>
      </c>
      <c r="H9" t="s">
        <v>21</v>
      </c>
      <c r="I9" t="s">
        <v>15</v>
      </c>
      <c r="J9" t="s">
        <v>121</v>
      </c>
    </row>
    <row r="10" spans="1:10" x14ac:dyDescent="0.35">
      <c r="A10" t="s">
        <v>122</v>
      </c>
      <c r="B10" t="s">
        <v>106</v>
      </c>
      <c r="C10" t="s">
        <v>116</v>
      </c>
      <c r="D10" t="s">
        <v>19</v>
      </c>
      <c r="E10">
        <v>170</v>
      </c>
      <c r="F10">
        <v>170</v>
      </c>
      <c r="G10" t="s">
        <v>20</v>
      </c>
      <c r="H10" t="s">
        <v>14</v>
      </c>
      <c r="I10" t="s">
        <v>58</v>
      </c>
      <c r="J10" t="s">
        <v>123</v>
      </c>
    </row>
    <row r="11" spans="1:10" x14ac:dyDescent="0.35">
      <c r="E11">
        <v>1279.33</v>
      </c>
    </row>
  </sheetData>
  <autoFilter ref="A1:J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H11"/>
  <sheetViews>
    <sheetView workbookViewId="0"/>
  </sheetViews>
  <sheetFormatPr baseColWidth="10" defaultColWidth="8.7265625" defaultRowHeight="14.5" x14ac:dyDescent="0.35"/>
  <cols>
    <col min="1" max="8" width="18" customWidth="1"/>
  </cols>
  <sheetData>
    <row r="1" spans="1:8" x14ac:dyDescent="0.35">
      <c r="A1" s="1" t="s">
        <v>28</v>
      </c>
      <c r="B1" s="1" t="s">
        <v>19</v>
      </c>
      <c r="C1" s="1" t="s">
        <v>12</v>
      </c>
      <c r="D1" s="1" t="s">
        <v>26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 x14ac:dyDescent="0.35">
      <c r="A2" s="8" t="s">
        <v>33</v>
      </c>
      <c r="B2" s="9">
        <v>1057.0899999999999</v>
      </c>
      <c r="C2" s="9">
        <v>23</v>
      </c>
      <c r="D2" s="9">
        <v>16.989999999999998</v>
      </c>
      <c r="E2" s="10">
        <v>0</v>
      </c>
      <c r="F2" s="10">
        <v>0</v>
      </c>
      <c r="G2" s="10">
        <v>0</v>
      </c>
      <c r="H2" s="10">
        <f>SUM(B2:G2)</f>
        <v>1097.08</v>
      </c>
    </row>
    <row r="3" spans="1:8" x14ac:dyDescent="0.35">
      <c r="A3" s="8" t="s">
        <v>34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f t="shared" ref="H3:H10" si="0">SUM(B3:G3)</f>
        <v>0</v>
      </c>
    </row>
    <row r="4" spans="1:8" x14ac:dyDescent="0.35">
      <c r="A4" s="8" t="s">
        <v>35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f t="shared" si="0"/>
        <v>0</v>
      </c>
    </row>
    <row r="5" spans="1:8" x14ac:dyDescent="0.35">
      <c r="A5" s="8" t="s">
        <v>36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f t="shared" si="0"/>
        <v>0</v>
      </c>
    </row>
    <row r="6" spans="1:8" x14ac:dyDescent="0.35">
      <c r="A6" s="8" t="s">
        <v>37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f t="shared" si="0"/>
        <v>0</v>
      </c>
    </row>
    <row r="7" spans="1:8" x14ac:dyDescent="0.35">
      <c r="A7" s="8" t="s">
        <v>38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f t="shared" si="0"/>
        <v>0</v>
      </c>
    </row>
    <row r="8" spans="1:8" x14ac:dyDescent="0.35">
      <c r="A8" s="8" t="s">
        <v>39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f t="shared" si="0"/>
        <v>0</v>
      </c>
    </row>
    <row r="9" spans="1:8" x14ac:dyDescent="0.35">
      <c r="A9" s="8" t="s">
        <v>40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f t="shared" si="0"/>
        <v>0</v>
      </c>
    </row>
    <row r="10" spans="1:8" x14ac:dyDescent="0.35">
      <c r="A10" s="8" t="s">
        <v>41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f t="shared" si="0"/>
        <v>0</v>
      </c>
    </row>
    <row r="11" spans="1:8" x14ac:dyDescent="0.35">
      <c r="A11" s="11" t="s">
        <v>42</v>
      </c>
      <c r="B11" s="12">
        <f>SUM(B2:B10)</f>
        <v>1057.0899999999999</v>
      </c>
      <c r="C11" s="12">
        <v>23</v>
      </c>
      <c r="D11" s="12">
        <v>16.989999999999998</v>
      </c>
      <c r="E11" s="12">
        <v>0</v>
      </c>
      <c r="F11" s="12">
        <v>0</v>
      </c>
      <c r="G11" s="12">
        <v>0</v>
      </c>
      <c r="H11" s="12">
        <f>SUM(H2:H10)</f>
        <v>1097.08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H11"/>
  <sheetViews>
    <sheetView workbookViewId="0"/>
  </sheetViews>
  <sheetFormatPr baseColWidth="10" defaultColWidth="8.7265625" defaultRowHeight="14.5" x14ac:dyDescent="0.35"/>
  <cols>
    <col min="1" max="1" width="28" customWidth="1"/>
    <col min="2" max="2" width="24" customWidth="1"/>
    <col min="3" max="7" width="18" customWidth="1"/>
    <col min="8" max="8" width="28" customWidth="1"/>
  </cols>
  <sheetData>
    <row r="1" spans="1:8" ht="28" x14ac:dyDescent="0.3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</row>
    <row r="2" spans="1:8" x14ac:dyDescent="0.35">
      <c r="A2" s="8" t="s">
        <v>51</v>
      </c>
      <c r="B2" s="8" t="s">
        <v>52</v>
      </c>
      <c r="C2" s="9">
        <v>9.99</v>
      </c>
      <c r="D2" s="10">
        <f>C2*12</f>
        <v>119.88</v>
      </c>
      <c r="E2" s="13">
        <v>46122</v>
      </c>
      <c r="F2" s="13">
        <v>46148</v>
      </c>
      <c r="G2" s="8" t="s">
        <v>53</v>
      </c>
      <c r="H2" s="8" t="s">
        <v>22</v>
      </c>
    </row>
    <row r="3" spans="1:8" x14ac:dyDescent="0.35">
      <c r="A3" s="8" t="s">
        <v>54</v>
      </c>
      <c r="B3" s="8" t="s">
        <v>55</v>
      </c>
      <c r="C3" s="9">
        <v>16.989999999999998</v>
      </c>
      <c r="D3" s="10">
        <f>C3*12</f>
        <v>203.88</v>
      </c>
      <c r="E3" s="13">
        <v>46124</v>
      </c>
      <c r="F3" s="13">
        <v>46154</v>
      </c>
      <c r="G3" s="8" t="s">
        <v>53</v>
      </c>
      <c r="H3" s="8" t="s">
        <v>22</v>
      </c>
    </row>
    <row r="4" spans="1:8" x14ac:dyDescent="0.35">
      <c r="A4" s="8" t="s">
        <v>56</v>
      </c>
      <c r="B4" s="8" t="s">
        <v>105</v>
      </c>
      <c r="C4" s="9">
        <v>170</v>
      </c>
      <c r="D4" s="10">
        <v>2040</v>
      </c>
      <c r="E4" s="23">
        <v>46121</v>
      </c>
      <c r="F4" s="23">
        <v>46151</v>
      </c>
      <c r="G4" s="8" t="s">
        <v>53</v>
      </c>
      <c r="H4" s="8" t="s">
        <v>58</v>
      </c>
    </row>
    <row r="5" spans="1:8" x14ac:dyDescent="0.35">
      <c r="A5" s="8" t="s">
        <v>59</v>
      </c>
      <c r="B5" s="8" t="s">
        <v>60</v>
      </c>
      <c r="C5" s="9">
        <v>20</v>
      </c>
      <c r="D5" s="10">
        <f>C5*12</f>
        <v>240</v>
      </c>
      <c r="E5" s="8"/>
      <c r="F5" s="8"/>
      <c r="G5" s="8" t="s">
        <v>114</v>
      </c>
      <c r="H5" s="8" t="s">
        <v>58</v>
      </c>
    </row>
    <row r="6" spans="1:8" x14ac:dyDescent="0.35">
      <c r="A6" s="8" t="s">
        <v>62</v>
      </c>
      <c r="B6" s="8" t="s">
        <v>63</v>
      </c>
      <c r="C6" s="9">
        <v>6</v>
      </c>
      <c r="D6" s="10">
        <f>C6*12</f>
        <v>72</v>
      </c>
      <c r="E6" s="8"/>
      <c r="F6" s="8"/>
      <c r="G6" s="8" t="s">
        <v>57</v>
      </c>
      <c r="H6" s="8" t="s">
        <v>58</v>
      </c>
    </row>
    <row r="7" spans="1:8" x14ac:dyDescent="0.35">
      <c r="A7" s="8" t="s">
        <v>64</v>
      </c>
      <c r="B7" s="8" t="s">
        <v>65</v>
      </c>
      <c r="C7" s="10">
        <f>D7/12</f>
        <v>8.25</v>
      </c>
      <c r="D7" s="9">
        <v>99</v>
      </c>
      <c r="E7" s="13" t="s">
        <v>118</v>
      </c>
      <c r="F7" s="13" t="s">
        <v>127</v>
      </c>
      <c r="G7" s="8" t="s">
        <v>126</v>
      </c>
      <c r="H7" s="8" t="s">
        <v>22</v>
      </c>
    </row>
    <row r="8" spans="1:8" x14ac:dyDescent="0.35">
      <c r="A8" s="8" t="s">
        <v>66</v>
      </c>
      <c r="B8" s="8" t="s">
        <v>67</v>
      </c>
      <c r="C8" s="9">
        <v>0</v>
      </c>
      <c r="D8" s="9">
        <v>0</v>
      </c>
      <c r="E8" s="8"/>
      <c r="F8" s="8"/>
      <c r="G8" s="8" t="s">
        <v>57</v>
      </c>
      <c r="H8" s="8" t="s">
        <v>15</v>
      </c>
    </row>
    <row r="9" spans="1:8" x14ac:dyDescent="0.35">
      <c r="A9" s="8" t="s">
        <v>68</v>
      </c>
      <c r="B9" s="8" t="s">
        <v>69</v>
      </c>
      <c r="C9" s="10"/>
      <c r="D9" s="10"/>
      <c r="E9" s="8"/>
      <c r="F9" s="8"/>
      <c r="G9" s="8" t="s">
        <v>57</v>
      </c>
      <c r="H9" s="8" t="s">
        <v>61</v>
      </c>
    </row>
    <row r="10" spans="1:8" x14ac:dyDescent="0.35">
      <c r="A10" t="s">
        <v>119</v>
      </c>
      <c r="B10" s="6" t="s">
        <v>124</v>
      </c>
      <c r="C10" s="7">
        <v>24.49</v>
      </c>
      <c r="D10" s="7">
        <v>293.88</v>
      </c>
      <c r="E10" t="s">
        <v>118</v>
      </c>
      <c r="F10" t="s">
        <v>125</v>
      </c>
      <c r="G10" t="s">
        <v>53</v>
      </c>
      <c r="H10" t="s">
        <v>15</v>
      </c>
    </row>
    <row r="11" spans="1:8" x14ac:dyDescent="0.35">
      <c r="C11">
        <v>255.72</v>
      </c>
      <c r="D11">
        <v>3068.64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8F00"/>
  </sheetPr>
  <dimension ref="A1:I2"/>
  <sheetViews>
    <sheetView workbookViewId="0"/>
  </sheetViews>
  <sheetFormatPr baseColWidth="10" defaultColWidth="8.7265625" defaultRowHeight="14.5" x14ac:dyDescent="0.35"/>
  <cols>
    <col min="1" max="9" width="16" customWidth="1"/>
  </cols>
  <sheetData>
    <row r="1" spans="1:9" x14ac:dyDescent="0.35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</row>
    <row r="2" spans="1:9" x14ac:dyDescent="0.35">
      <c r="A2" s="24" t="s">
        <v>78</v>
      </c>
      <c r="B2" s="25"/>
      <c r="C2" s="25"/>
      <c r="D2" s="25"/>
      <c r="E2" s="25"/>
      <c r="F2" s="25"/>
      <c r="G2" s="25"/>
      <c r="H2" s="25"/>
      <c r="I2" s="25"/>
    </row>
  </sheetData>
  <mergeCells count="1"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G2"/>
  <sheetViews>
    <sheetView workbookViewId="0"/>
  </sheetViews>
  <sheetFormatPr baseColWidth="10" defaultColWidth="8.7265625" defaultRowHeight="14.5" x14ac:dyDescent="0.35"/>
  <cols>
    <col min="1" max="7" width="20" customWidth="1"/>
  </cols>
  <sheetData>
    <row r="1" spans="1:7" ht="28" x14ac:dyDescent="0.35">
      <c r="A1" s="1" t="s">
        <v>0</v>
      </c>
      <c r="B1" s="1" t="s">
        <v>70</v>
      </c>
      <c r="C1" s="1" t="s">
        <v>2</v>
      </c>
      <c r="D1" s="1" t="s">
        <v>79</v>
      </c>
      <c r="E1" s="1" t="s">
        <v>80</v>
      </c>
      <c r="F1" s="1" t="s">
        <v>81</v>
      </c>
      <c r="G1" s="1" t="s">
        <v>82</v>
      </c>
    </row>
    <row r="2" spans="1:7" x14ac:dyDescent="0.35">
      <c r="A2" s="24" t="s">
        <v>83</v>
      </c>
      <c r="B2" s="25"/>
      <c r="C2" s="25"/>
      <c r="D2" s="25"/>
      <c r="E2" s="25"/>
      <c r="F2" s="25"/>
      <c r="G2" s="25"/>
    </row>
  </sheetData>
  <mergeCells count="1">
    <mergeCell ref="A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J19"/>
  <sheetViews>
    <sheetView workbookViewId="0"/>
  </sheetViews>
  <sheetFormatPr baseColWidth="10" defaultColWidth="8.7265625" defaultRowHeight="14.5" x14ac:dyDescent="0.35"/>
  <cols>
    <col min="1" max="1" width="24" customWidth="1"/>
    <col min="2" max="10" width="16" customWidth="1"/>
  </cols>
  <sheetData>
    <row r="1" spans="1:10" ht="28" x14ac:dyDescent="0.35">
      <c r="A1" s="1" t="s">
        <v>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</row>
    <row r="2" spans="1:10" x14ac:dyDescent="0.35">
      <c r="A2" s="14" t="s">
        <v>84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x14ac:dyDescent="0.35">
      <c r="A3" s="8" t="s">
        <v>85</v>
      </c>
      <c r="B3" s="10"/>
      <c r="C3" s="10"/>
      <c r="D3" s="10"/>
      <c r="E3" s="10"/>
      <c r="F3" s="10"/>
      <c r="G3" s="10"/>
      <c r="H3" s="10"/>
      <c r="I3" s="10"/>
      <c r="J3" s="10"/>
    </row>
    <row r="4" spans="1:10" x14ac:dyDescent="0.35">
      <c r="A4" s="8" t="s">
        <v>86</v>
      </c>
      <c r="B4" s="10"/>
      <c r="C4" s="10"/>
      <c r="D4" s="10"/>
      <c r="E4" s="10"/>
      <c r="F4" s="10"/>
      <c r="G4" s="10"/>
      <c r="H4" s="10"/>
      <c r="I4" s="10"/>
      <c r="J4" s="10"/>
    </row>
    <row r="5" spans="1:10" x14ac:dyDescent="0.35">
      <c r="A5" s="8" t="s">
        <v>87</v>
      </c>
      <c r="B5" s="10">
        <v>16.989999999999998</v>
      </c>
      <c r="C5" s="10"/>
      <c r="D5" s="10"/>
      <c r="E5" s="10"/>
      <c r="F5" s="10"/>
      <c r="G5" s="10"/>
      <c r="H5" s="10"/>
      <c r="I5" s="10"/>
      <c r="J5" s="10"/>
    </row>
    <row r="6" spans="1:10" x14ac:dyDescent="0.35">
      <c r="A6" s="15" t="s">
        <v>88</v>
      </c>
      <c r="B6" s="12">
        <v>0</v>
      </c>
      <c r="C6" s="12"/>
      <c r="D6" s="12"/>
      <c r="E6" s="12"/>
      <c r="F6" s="12"/>
      <c r="G6" s="12"/>
      <c r="H6" s="12"/>
      <c r="I6" s="12"/>
      <c r="J6" s="12"/>
    </row>
    <row r="7" spans="1:10" x14ac:dyDescent="0.35">
      <c r="A7" s="8"/>
      <c r="B7" s="10"/>
      <c r="C7" s="10"/>
      <c r="D7" s="10"/>
      <c r="E7" s="10"/>
      <c r="F7" s="10"/>
      <c r="G7" s="10"/>
      <c r="H7" s="10"/>
      <c r="I7" s="10"/>
      <c r="J7" s="10"/>
    </row>
    <row r="8" spans="1:10" x14ac:dyDescent="0.35">
      <c r="A8" s="14" t="s">
        <v>89</v>
      </c>
      <c r="B8" s="10"/>
      <c r="C8" s="10"/>
      <c r="D8" s="10"/>
      <c r="E8" s="10"/>
      <c r="F8" s="10"/>
      <c r="G8" s="10"/>
      <c r="H8" s="10"/>
      <c r="I8" s="10"/>
      <c r="J8" s="10"/>
    </row>
    <row r="9" spans="1:10" x14ac:dyDescent="0.35">
      <c r="A9" s="8" t="s">
        <v>19</v>
      </c>
      <c r="B9" s="10">
        <v>462.09</v>
      </c>
      <c r="C9" s="10"/>
      <c r="D9" s="10"/>
      <c r="E9" s="10"/>
      <c r="F9" s="10"/>
      <c r="G9" s="10"/>
      <c r="H9" s="10"/>
      <c r="I9" s="10"/>
      <c r="J9" s="10"/>
    </row>
    <row r="10" spans="1:10" x14ac:dyDescent="0.35">
      <c r="A10" s="8" t="s">
        <v>12</v>
      </c>
      <c r="B10" s="10">
        <v>23</v>
      </c>
      <c r="C10" s="10"/>
      <c r="D10" s="10"/>
      <c r="E10" s="10"/>
      <c r="F10" s="10"/>
      <c r="G10" s="10"/>
      <c r="H10" s="10"/>
      <c r="I10" s="10"/>
      <c r="J10" s="10"/>
    </row>
    <row r="11" spans="1:10" x14ac:dyDescent="0.35">
      <c r="A11" s="8" t="s">
        <v>26</v>
      </c>
      <c r="B11" s="10">
        <v>16.989999999999998</v>
      </c>
      <c r="C11" s="10"/>
      <c r="D11" s="10"/>
      <c r="E11" s="10"/>
      <c r="F11" s="10"/>
      <c r="G11" s="10"/>
      <c r="H11" s="10"/>
      <c r="I11" s="10"/>
      <c r="J11" s="10"/>
    </row>
    <row r="12" spans="1:10" x14ac:dyDescent="0.35">
      <c r="A12" s="8" t="s">
        <v>29</v>
      </c>
      <c r="B12" s="10">
        <v>0</v>
      </c>
      <c r="C12" s="10"/>
      <c r="D12" s="10"/>
      <c r="E12" s="10"/>
      <c r="F12" s="10"/>
      <c r="G12" s="10"/>
      <c r="H12" s="10"/>
      <c r="I12" s="10"/>
      <c r="J12" s="10"/>
    </row>
    <row r="13" spans="1:10" x14ac:dyDescent="0.35">
      <c r="A13" s="8" t="s">
        <v>30</v>
      </c>
      <c r="B13" s="10">
        <v>0</v>
      </c>
      <c r="C13" s="10"/>
      <c r="D13" s="10"/>
      <c r="E13" s="10"/>
      <c r="F13" s="10"/>
      <c r="G13" s="10"/>
      <c r="H13" s="10"/>
      <c r="I13" s="10"/>
      <c r="J13" s="10"/>
    </row>
    <row r="14" spans="1:10" x14ac:dyDescent="0.35">
      <c r="A14" s="8" t="s">
        <v>31</v>
      </c>
      <c r="B14" s="10">
        <v>0</v>
      </c>
      <c r="C14" s="10"/>
      <c r="D14" s="10"/>
      <c r="E14" s="10"/>
      <c r="F14" s="10"/>
      <c r="G14" s="10"/>
      <c r="H14" s="10"/>
      <c r="I14" s="10"/>
      <c r="J14" s="10"/>
    </row>
    <row r="15" spans="1:10" x14ac:dyDescent="0.35">
      <c r="A15" s="15" t="s">
        <v>90</v>
      </c>
      <c r="B15" s="12">
        <v>502.08</v>
      </c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8"/>
      <c r="B16" s="10"/>
      <c r="C16" s="10"/>
      <c r="D16" s="10"/>
      <c r="E16" s="10"/>
      <c r="F16" s="10"/>
      <c r="G16" s="10"/>
      <c r="H16" s="10"/>
      <c r="I16" s="10"/>
      <c r="J16" s="10"/>
    </row>
    <row r="17" spans="1:10" x14ac:dyDescent="0.35">
      <c r="A17" s="15" t="s">
        <v>91</v>
      </c>
      <c r="B17" s="12">
        <v>-502.08</v>
      </c>
      <c r="C17" s="12"/>
      <c r="D17" s="12"/>
      <c r="E17" s="12"/>
      <c r="F17" s="12"/>
      <c r="G17" s="12"/>
      <c r="H17" s="12"/>
      <c r="I17" s="12"/>
      <c r="J17" s="12"/>
    </row>
    <row r="18" spans="1:10" x14ac:dyDescent="0.35">
      <c r="A18" s="14" t="s">
        <v>92</v>
      </c>
      <c r="B18" s="10"/>
      <c r="C18" s="10"/>
      <c r="D18" s="10"/>
      <c r="E18" s="10"/>
      <c r="F18" s="10"/>
      <c r="G18" s="10"/>
      <c r="H18" s="10"/>
      <c r="I18" s="10"/>
      <c r="J18" s="10"/>
    </row>
    <row r="19" spans="1:10" x14ac:dyDescent="0.35">
      <c r="A19" s="14" t="s">
        <v>93</v>
      </c>
      <c r="B19" s="10">
        <v>502.08</v>
      </c>
      <c r="C19" s="10"/>
      <c r="D19" s="10"/>
      <c r="E19" s="10"/>
      <c r="F19" s="10"/>
      <c r="G19" s="10"/>
      <c r="H19" s="10"/>
      <c r="I19" s="10"/>
      <c r="J19" s="10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F10"/>
  <sheetViews>
    <sheetView workbookViewId="0"/>
  </sheetViews>
  <sheetFormatPr baseColWidth="10" defaultColWidth="8.7265625" defaultRowHeight="14.5" x14ac:dyDescent="0.35"/>
  <cols>
    <col min="1" max="6" width="20" customWidth="1"/>
  </cols>
  <sheetData>
    <row r="1" spans="1:6" ht="28" x14ac:dyDescent="0.35">
      <c r="A1" s="1" t="s">
        <v>28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</row>
    <row r="2" spans="1:6" x14ac:dyDescent="0.35">
      <c r="A2" s="8" t="s">
        <v>33</v>
      </c>
      <c r="B2" s="10"/>
      <c r="C2" s="8"/>
      <c r="D2" s="10">
        <f t="shared" ref="D2:D10" si="0">IF(C2&gt;0,B2/C2,0)</f>
        <v>0</v>
      </c>
      <c r="E2" s="10"/>
      <c r="F2" s="16">
        <f t="shared" ref="F2:F10" si="1">IF(B2&gt;0,(E2*C2-B2)/B2,0)</f>
        <v>0</v>
      </c>
    </row>
    <row r="3" spans="1:6" x14ac:dyDescent="0.35">
      <c r="A3" s="8" t="s">
        <v>34</v>
      </c>
      <c r="B3" s="10"/>
      <c r="C3" s="8"/>
      <c r="D3" s="10">
        <f t="shared" si="0"/>
        <v>0</v>
      </c>
      <c r="E3" s="10"/>
      <c r="F3" s="16">
        <f t="shared" si="1"/>
        <v>0</v>
      </c>
    </row>
    <row r="4" spans="1:6" x14ac:dyDescent="0.35">
      <c r="A4" s="8" t="s">
        <v>35</v>
      </c>
      <c r="B4" s="10"/>
      <c r="C4" s="8"/>
      <c r="D4" s="10">
        <f t="shared" si="0"/>
        <v>0</v>
      </c>
      <c r="E4" s="10"/>
      <c r="F4" s="16">
        <f t="shared" si="1"/>
        <v>0</v>
      </c>
    </row>
    <row r="5" spans="1:6" x14ac:dyDescent="0.35">
      <c r="A5" s="8" t="s">
        <v>36</v>
      </c>
      <c r="B5" s="10"/>
      <c r="C5" s="8"/>
      <c r="D5" s="10">
        <f t="shared" si="0"/>
        <v>0</v>
      </c>
      <c r="E5" s="10"/>
      <c r="F5" s="16">
        <f t="shared" si="1"/>
        <v>0</v>
      </c>
    </row>
    <row r="6" spans="1:6" x14ac:dyDescent="0.35">
      <c r="A6" s="8" t="s">
        <v>37</v>
      </c>
      <c r="B6" s="10"/>
      <c r="C6" s="8"/>
      <c r="D6" s="10">
        <f t="shared" si="0"/>
        <v>0</v>
      </c>
      <c r="E6" s="10"/>
      <c r="F6" s="16">
        <f t="shared" si="1"/>
        <v>0</v>
      </c>
    </row>
    <row r="7" spans="1:6" x14ac:dyDescent="0.35">
      <c r="A7" s="8" t="s">
        <v>38</v>
      </c>
      <c r="B7" s="10"/>
      <c r="C7" s="8"/>
      <c r="D7" s="10">
        <f t="shared" si="0"/>
        <v>0</v>
      </c>
      <c r="E7" s="10"/>
      <c r="F7" s="16">
        <f t="shared" si="1"/>
        <v>0</v>
      </c>
    </row>
    <row r="8" spans="1:6" x14ac:dyDescent="0.35">
      <c r="A8" s="8" t="s">
        <v>39</v>
      </c>
      <c r="B8" s="10"/>
      <c r="C8" s="8"/>
      <c r="D8" s="10">
        <f t="shared" si="0"/>
        <v>0</v>
      </c>
      <c r="E8" s="10"/>
      <c r="F8" s="16">
        <f t="shared" si="1"/>
        <v>0</v>
      </c>
    </row>
    <row r="9" spans="1:6" x14ac:dyDescent="0.35">
      <c r="A9" s="8" t="s">
        <v>40</v>
      </c>
      <c r="B9" s="10"/>
      <c r="C9" s="8"/>
      <c r="D9" s="10">
        <f t="shared" si="0"/>
        <v>0</v>
      </c>
      <c r="E9" s="10"/>
      <c r="F9" s="16">
        <f t="shared" si="1"/>
        <v>0</v>
      </c>
    </row>
    <row r="10" spans="1:6" x14ac:dyDescent="0.35">
      <c r="A10" s="8" t="s">
        <v>41</v>
      </c>
      <c r="B10" s="10"/>
      <c r="C10" s="8"/>
      <c r="D10" s="10">
        <f t="shared" si="0"/>
        <v>0</v>
      </c>
      <c r="E10" s="10"/>
      <c r="F10" s="16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D7D31"/>
  </sheetPr>
  <dimension ref="A1:H12"/>
  <sheetViews>
    <sheetView topLeftCell="A27" workbookViewId="0">
      <selection sqref="A1:H1"/>
    </sheetView>
  </sheetViews>
  <sheetFormatPr baseColWidth="10" defaultColWidth="8.7265625" defaultRowHeight="14.5" x14ac:dyDescent="0.35"/>
  <cols>
    <col min="1" max="8" width="16" customWidth="1"/>
  </cols>
  <sheetData>
    <row r="1" spans="1:8" ht="20" x14ac:dyDescent="0.4">
      <c r="A1" s="28" t="s">
        <v>99</v>
      </c>
      <c r="B1" s="25"/>
      <c r="C1" s="25"/>
      <c r="D1" s="25"/>
      <c r="E1" s="25"/>
      <c r="F1" s="25"/>
      <c r="G1" s="25"/>
      <c r="H1" s="25"/>
    </row>
    <row r="3" spans="1:8" x14ac:dyDescent="0.35">
      <c r="A3" s="29" t="s">
        <v>100</v>
      </c>
      <c r="B3" s="25"/>
      <c r="C3" s="29" t="s">
        <v>101</v>
      </c>
      <c r="D3" s="25"/>
      <c r="E3" s="29" t="s">
        <v>102</v>
      </c>
      <c r="F3" s="25"/>
      <c r="G3" s="29" t="s">
        <v>103</v>
      </c>
      <c r="H3" s="25"/>
    </row>
    <row r="4" spans="1:8" ht="18" x14ac:dyDescent="0.4">
      <c r="A4" s="26">
        <f>'Resumen Mensual'!H11</f>
        <v>1097.08</v>
      </c>
      <c r="B4" s="25"/>
      <c r="C4" s="26">
        <f>'Resumen Mensual'!H2</f>
        <v>1097.08</v>
      </c>
      <c r="D4" s="25"/>
      <c r="E4" s="27">
        <v>2</v>
      </c>
      <c r="F4" s="25"/>
      <c r="G4" s="27">
        <v>0</v>
      </c>
      <c r="H4" s="25"/>
    </row>
    <row r="6" spans="1:8" x14ac:dyDescent="0.35">
      <c r="A6" s="6" t="s">
        <v>3</v>
      </c>
      <c r="B6" s="6" t="s">
        <v>104</v>
      </c>
    </row>
    <row r="7" spans="1:8" x14ac:dyDescent="0.35">
      <c r="A7" s="17" t="s">
        <v>19</v>
      </c>
      <c r="B7" s="18">
        <f>'Resumen Mensual'!B2</f>
        <v>1057.0899999999999</v>
      </c>
    </row>
    <row r="8" spans="1:8" x14ac:dyDescent="0.35">
      <c r="A8" s="17" t="s">
        <v>12</v>
      </c>
      <c r="B8" s="18">
        <f>'Resumen Mensual'!C2</f>
        <v>23</v>
      </c>
    </row>
    <row r="9" spans="1:8" x14ac:dyDescent="0.35">
      <c r="A9" s="17" t="s">
        <v>26</v>
      </c>
      <c r="B9" s="18">
        <f>'Resumen Mensual'!D2</f>
        <v>16.989999999999998</v>
      </c>
    </row>
    <row r="10" spans="1:8" x14ac:dyDescent="0.35">
      <c r="A10" s="17" t="s">
        <v>29</v>
      </c>
      <c r="B10" s="18">
        <v>0</v>
      </c>
    </row>
    <row r="11" spans="1:8" x14ac:dyDescent="0.35">
      <c r="A11" s="17" t="s">
        <v>30</v>
      </c>
      <c r="B11" s="18">
        <v>0</v>
      </c>
    </row>
    <row r="12" spans="1:8" x14ac:dyDescent="0.35">
      <c r="A12" s="17" t="s">
        <v>31</v>
      </c>
      <c r="B12" s="18">
        <v>0</v>
      </c>
    </row>
  </sheetData>
  <mergeCells count="9">
    <mergeCell ref="A4:B4"/>
    <mergeCell ref="G4:H4"/>
    <mergeCell ref="E4:F4"/>
    <mergeCell ref="A1:H1"/>
    <mergeCell ref="C3:D3"/>
    <mergeCell ref="A3:B3"/>
    <mergeCell ref="G3:H3"/>
    <mergeCell ref="E3:F3"/>
    <mergeCell ref="C4:D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Gastos</vt:lpstr>
      <vt:lpstr>Resumen Mensual</vt:lpstr>
      <vt:lpstr>Suscripciones</vt:lpstr>
      <vt:lpstr>Publicidad</vt:lpstr>
      <vt:lpstr>Ingresos</vt:lpstr>
      <vt:lpstr>P&amp;L</vt:lpstr>
      <vt:lpstr>Métricas vs Gasto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Judith Cordobés Curbelo</cp:lastModifiedBy>
  <dcterms:created xsi:type="dcterms:W3CDTF">2026-04-13T12:56:49Z</dcterms:created>
  <dcterms:modified xsi:type="dcterms:W3CDTF">2026-04-18T00:34:15Z</dcterms:modified>
</cp:coreProperties>
</file>