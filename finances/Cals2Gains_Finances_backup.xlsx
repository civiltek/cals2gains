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  <sheet name="Resumen Mensual" sheetId="2" state="visible" r:id="rId2"/>
    <sheet name="Suscripciones" sheetId="3" state="visible" r:id="rId3"/>
    <sheet name="Publicidad" sheetId="4" state="visible" r:id="rId4"/>
    <sheet name="Ingresos" sheetId="5" state="visible" r:id="rId5"/>
    <sheet name="P&amp;L" sheetId="6" state="visible" r:id="rId6"/>
    <sheet name="Métricas vs Gasto" sheetId="7" state="visible" r:id="rId7"/>
    <sheet name="Dashboard" sheetId="8" state="visible" r:id="rId8"/>
  </sheets>
  <definedNames>
    <definedName name="_xlnm._FilterDatabase" localSheetId="0" hidden="1">'Gastos'!$A$1:$J$4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#,##0.00 €"/>
    <numFmt numFmtId="167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0"/>
    </font>
    <font>
      <name val="Arial"/>
      <b val="1"/>
      <color rgb="001B2A4A"/>
      <sz val="10"/>
    </font>
    <font>
      <name val="Arial"/>
      <color rgb="00000000"/>
      <sz val="10"/>
    </font>
    <font>
      <name val="Arial"/>
      <i val="1"/>
      <color rgb="00808080"/>
      <sz val="10"/>
    </font>
    <font>
      <name val="Arial"/>
      <b val="1"/>
      <color rgb="001B2A4A"/>
      <sz val="16"/>
    </font>
    <font>
      <name val="Arial"/>
      <color rgb="00666666"/>
      <sz val="9"/>
    </font>
    <font>
      <name val="Arial"/>
      <b val="1"/>
      <color rgb="001B2A4A"/>
      <sz val="14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  <xf numFmtId="166" fontId="3" fillId="3" borderId="0" pivotButton="0" quotePrefix="0" xfId="0"/>
    <xf numFmtId="0" fontId="4" fillId="0" borderId="1" pivotButton="0" quotePrefix="0" xfId="0"/>
    <xf numFmtId="166" fontId="2" fillId="0" borderId="1" pivotButton="0" quotePrefix="0" xfId="0"/>
    <xf numFmtId="166" fontId="4" fillId="0" borderId="1" pivotButton="0" quotePrefix="0" xfId="0"/>
    <xf numFmtId="0" fontId="3" fillId="3" borderId="0" pivotButton="0" quotePrefix="0" xfId="0"/>
    <xf numFmtId="166" fontId="3" fillId="3" borderId="1" pivotButton="0" quotePrefix="0" xfId="0"/>
    <xf numFmtId="165" fontId="4" fillId="0" borderId="1" pivotButton="0" quotePrefix="0" xfId="0"/>
    <xf numFmtId="0" fontId="5" fillId="0" borderId="0" pivotButton="0" quotePrefix="0" xfId="0"/>
    <xf numFmtId="0" fontId="3" fillId="0" borderId="1" pivotButton="0" quotePrefix="0" xfId="0"/>
    <xf numFmtId="0" fontId="3" fillId="3" borderId="1" pivotButton="0" quotePrefix="0" xfId="0"/>
    <xf numFmtId="167" fontId="4" fillId="0" borderId="1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6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Distribución de Gasto - Abril 2026</a:t>
            </a:r>
          </a:p>
        </rich>
      </tx>
    </title>
    <plotArea>
      <pieChart>
        <varyColors val="1"/>
        <ser>
          <idx val="0"/>
          <order val="0"/>
          <tx>
            <strRef>
              <f>'Dashboard'!B6</f>
            </strRef>
          </tx>
          <spPr>
            <a:ln>
              <a:prstDash val="solid"/>
            </a:ln>
          </spPr>
          <cat>
            <numRef>
              <f>'Dashboard'!$A$7:$A$12</f>
            </numRef>
          </cat>
          <val>
            <numRef>
              <f>'Dashboard'!$B$7:$B$12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 Mensual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Mensual'!H1</f>
            </strRef>
          </tx>
          <spPr>
            <a:ln>
              <a:prstDash val="solid"/>
            </a:ln>
          </spPr>
          <cat>
            <numRef>
              <f>'Resumen Mensual'!$A$2:$A$10</f>
            </numRef>
          </cat>
          <val>
            <numRef>
              <f>'Resumen Mensual'!$H$2:$H$10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29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14" customWidth="1" min="4" max="4"/>
    <col width="17" customWidth="1" min="5" max="5"/>
    <col width="20" customWidth="1" min="6" max="6"/>
    <col width="14" customWidth="1" min="7" max="7"/>
    <col width="15" customWidth="1" min="8" max="8"/>
    <col width="16" customWidth="1" min="9" max="9"/>
    <col width="28" customWidth="1" min="10" max="10"/>
  </cols>
  <sheetData>
    <row r="1">
      <c r="A1" s="1" t="inlineStr">
        <is>
          <t>Fecha</t>
        </is>
      </c>
      <c r="B1" s="1" t="inlineStr">
        <is>
          <t>Proveedor</t>
        </is>
      </c>
      <c r="C1" s="1" t="inlineStr">
        <is>
          <t>Concepto</t>
        </is>
      </c>
      <c r="D1" s="1" t="inlineStr">
        <is>
          <t>Categoría</t>
        </is>
      </c>
      <c r="E1" s="1" t="inlineStr">
        <is>
          <t>Importe (EUR)</t>
        </is>
      </c>
      <c r="F1" s="1" t="inlineStr">
        <is>
          <t>Importe original</t>
        </is>
      </c>
      <c r="G1" s="1" t="inlineStr">
        <is>
          <t>Moneda</t>
        </is>
      </c>
      <c r="H1" s="1" t="inlineStr">
        <is>
          <t>Recurrente?</t>
        </is>
      </c>
      <c r="I1" s="1" t="inlineStr">
        <is>
          <t>Cuenta email</t>
        </is>
      </c>
      <c r="J1" s="1" t="inlineStr">
        <is>
          <t>Recibo</t>
        </is>
      </c>
    </row>
    <row r="2">
      <c r="A2" s="2" t="n">
        <v>46121</v>
      </c>
      <c r="B2" s="3" t="inlineStr">
        <is>
          <t>Google</t>
        </is>
      </c>
      <c r="C2" s="3" t="inlineStr">
        <is>
          <t>Play Console - Developer Registration Fee</t>
        </is>
      </c>
      <c r="D2" s="3" t="inlineStr">
        <is>
          <t>App Stores</t>
        </is>
      </c>
      <c r="E2" s="4" t="n">
        <v>23</v>
      </c>
      <c r="F2" s="5" t="n">
        <v>25</v>
      </c>
      <c r="G2" s="3" t="inlineStr">
        <is>
          <t>USD</t>
        </is>
      </c>
      <c r="H2" s="3" t="inlineStr">
        <is>
          <t>No</t>
        </is>
      </c>
      <c r="I2" s="3" t="inlineStr">
        <is>
          <t>cals2gains@gmail.com</t>
        </is>
      </c>
      <c r="J2" s="3" t="inlineStr">
        <is>
          <t>PDS.9797-3611-4976-86649</t>
        </is>
      </c>
    </row>
    <row r="3">
      <c r="A3" s="2" t="n">
        <v>46122</v>
      </c>
      <c r="B3" s="3" t="inlineStr">
        <is>
          <t>Apple</t>
        </is>
      </c>
      <c r="C3" s="3" t="inlineStr">
        <is>
          <t>iCloud+ 2TB (Mensual)</t>
        </is>
      </c>
      <c r="D3" s="3" t="inlineStr">
        <is>
          <t>IA/Suscripciones</t>
        </is>
      </c>
      <c r="E3" s="4" t="n">
        <v>9.99</v>
      </c>
      <c r="F3" s="5" t="n">
        <v>9.99</v>
      </c>
      <c r="G3" s="3" t="inlineStr">
        <is>
          <t>EUR</t>
        </is>
      </c>
      <c r="H3" s="3" t="inlineStr">
        <is>
          <t>Sí</t>
        </is>
      </c>
      <c r="I3" s="3" t="inlineStr">
        <is>
          <t>judith.cordobes@gmail.com</t>
        </is>
      </c>
      <c r="J3" s="3" t="inlineStr">
        <is>
          <t>Seq: 1-13376832551</t>
        </is>
      </c>
    </row>
    <row r="4">
      <c r="A4" s="2" t="n">
        <v>46125</v>
      </c>
      <c r="B4" s="3" t="inlineStr">
        <is>
          <t>Apple/Meta</t>
        </is>
      </c>
      <c r="C4" s="3" t="inlineStr">
        <is>
          <t>Meta Verified For Business (Instagram)</t>
        </is>
      </c>
      <c r="D4" s="3" t="inlineStr">
        <is>
          <t>Publicidad</t>
        </is>
      </c>
      <c r="E4" s="4" t="n">
        <v>16.99</v>
      </c>
      <c r="F4" s="5" t="n">
        <v>16.99</v>
      </c>
      <c r="G4" s="3" t="inlineStr">
        <is>
          <t>EUR</t>
        </is>
      </c>
      <c r="H4" s="3" t="inlineStr">
        <is>
          <t>Sí</t>
        </is>
      </c>
      <c r="I4" s="3" t="inlineStr">
        <is>
          <t>judith.cordobes@gmail.com</t>
        </is>
      </c>
      <c r="J4" s="3" t="inlineStr">
        <is>
          <t>Seq: 1-13389522137</t>
        </is>
      </c>
    </row>
    <row r="5">
      <c r="D5" s="6" t="inlineStr">
        <is>
          <t>TOTAL</t>
        </is>
      </c>
      <c r="E5" s="7">
        <f>SUM(E2:E4)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Mes</t>
        </is>
      </c>
      <c r="B1" s="1" t="inlineStr">
        <is>
          <t>IA/Suscripciones</t>
        </is>
      </c>
      <c r="C1" s="1" t="inlineStr">
        <is>
          <t>App Stores</t>
        </is>
      </c>
      <c r="D1" s="1" t="inlineStr">
        <is>
          <t>Publicidad</t>
        </is>
      </c>
      <c r="E1" s="1" t="inlineStr">
        <is>
          <t>Hosting/Dominio</t>
        </is>
      </c>
      <c r="F1" s="1" t="inlineStr">
        <is>
          <t>Herramientas</t>
        </is>
      </c>
      <c r="G1" s="1" t="inlineStr">
        <is>
          <t>Otros</t>
        </is>
      </c>
      <c r="H1" s="1" t="inlineStr">
        <is>
          <t>TOTAL MES</t>
        </is>
      </c>
    </row>
    <row r="2">
      <c r="A2" s="8" t="inlineStr">
        <is>
          <t>Abril 2026</t>
        </is>
      </c>
      <c r="B2" s="9" t="n">
        <v>9.99</v>
      </c>
      <c r="C2" s="9" t="n">
        <v>23</v>
      </c>
      <c r="D2" s="9" t="n">
        <v>16.99</v>
      </c>
      <c r="E2" s="10" t="n">
        <v>0</v>
      </c>
      <c r="F2" s="10" t="n">
        <v>0</v>
      </c>
      <c r="G2" s="10" t="n">
        <v>0</v>
      </c>
      <c r="H2" s="10">
        <f>SUM(B2:G2)</f>
        <v/>
      </c>
    </row>
    <row r="3">
      <c r="A3" s="8" t="inlineStr">
        <is>
          <t>Mayo 2026</t>
        </is>
      </c>
      <c r="B3" s="10" t="n">
        <v>0</v>
      </c>
      <c r="C3" s="10" t="n">
        <v>0</v>
      </c>
      <c r="D3" s="10" t="n">
        <v>0</v>
      </c>
      <c r="E3" s="10" t="n">
        <v>0</v>
      </c>
      <c r="F3" s="10" t="n">
        <v>0</v>
      </c>
      <c r="G3" s="10" t="n">
        <v>0</v>
      </c>
      <c r="H3" s="10">
        <f>SUM(B3:G3)</f>
        <v/>
      </c>
    </row>
    <row r="4">
      <c r="A4" s="8" t="inlineStr">
        <is>
          <t>Junio 2026</t>
        </is>
      </c>
      <c r="B4" s="10" t="n">
        <v>0</v>
      </c>
      <c r="C4" s="10" t="n">
        <v>0</v>
      </c>
      <c r="D4" s="10" t="n">
        <v>0</v>
      </c>
      <c r="E4" s="10" t="n">
        <v>0</v>
      </c>
      <c r="F4" s="10" t="n">
        <v>0</v>
      </c>
      <c r="G4" s="10" t="n">
        <v>0</v>
      </c>
      <c r="H4" s="10">
        <f>SUM(B4:G4)</f>
        <v/>
      </c>
    </row>
    <row r="5">
      <c r="A5" s="8" t="inlineStr">
        <is>
          <t>Julio 2026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>
        <f>SUM(B5:G5)</f>
        <v/>
      </c>
    </row>
    <row r="6">
      <c r="A6" s="8" t="inlineStr">
        <is>
          <t>Agosto 2026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>
        <f>SUM(B6:G6)</f>
        <v/>
      </c>
    </row>
    <row r="7">
      <c r="A7" s="8" t="inlineStr">
        <is>
          <t>Septiembre 2026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>
        <f>SUM(B7:G7)</f>
        <v/>
      </c>
    </row>
    <row r="8">
      <c r="A8" s="8" t="inlineStr">
        <is>
          <t>Octubre 2026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>
        <f>SUM(B8:G8)</f>
        <v/>
      </c>
    </row>
    <row r="9">
      <c r="A9" s="8" t="inlineStr">
        <is>
          <t>Noviembre 2026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>
        <f>SUM(B9:G9)</f>
        <v/>
      </c>
    </row>
    <row r="10">
      <c r="A10" s="8" t="inlineStr">
        <is>
          <t>Diciembre 2026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>
        <f>SUM(B10:G10)</f>
        <v/>
      </c>
    </row>
    <row r="11">
      <c r="A11" s="11" t="inlineStr">
        <is>
          <t>TOTAL ACUMULADO</t>
        </is>
      </c>
      <c r="B11" s="12">
        <f>SUM(B2:B10)</f>
        <v/>
      </c>
      <c r="C11" s="12">
        <f>SUM(C2:C10)</f>
        <v/>
      </c>
      <c r="D11" s="12">
        <f>SUM(D2:D10)</f>
        <v/>
      </c>
      <c r="E11" s="12">
        <f>SUM(E2:E10)</f>
        <v/>
      </c>
      <c r="F11" s="12">
        <f>SUM(F2:F10)</f>
        <v/>
      </c>
      <c r="G11" s="12">
        <f>SUM(G2:G10)</f>
        <v/>
      </c>
      <c r="H11" s="12">
        <f>SUM(H2:H10)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8" customWidth="1" min="8" max="8"/>
  </cols>
  <sheetData>
    <row r="1">
      <c r="A1" s="1" t="inlineStr">
        <is>
          <t>Servicio</t>
        </is>
      </c>
      <c r="B1" s="1" t="inlineStr">
        <is>
          <t>Plan</t>
        </is>
      </c>
      <c r="C1" s="1" t="inlineStr">
        <is>
          <t>Coste mensual (EUR)</t>
        </is>
      </c>
      <c r="D1" s="1" t="inlineStr">
        <is>
          <t>Coste anual (EUR)</t>
        </is>
      </c>
      <c r="E1" s="1" t="inlineStr">
        <is>
          <t>Fecha inicio</t>
        </is>
      </c>
      <c r="F1" s="1" t="inlineStr">
        <is>
          <t>Próximo cobro</t>
        </is>
      </c>
      <c r="G1" s="1" t="inlineStr">
        <is>
          <t>Estado</t>
        </is>
      </c>
      <c r="H1" s="1" t="inlineStr">
        <is>
          <t>Cuenta</t>
        </is>
      </c>
    </row>
    <row r="2">
      <c r="A2" s="8" t="inlineStr">
        <is>
          <t>iCloud+</t>
        </is>
      </c>
      <c r="B2" s="8" t="inlineStr">
        <is>
          <t>2 TB Mensual</t>
        </is>
      </c>
      <c r="C2" s="9" t="n">
        <v>9.99</v>
      </c>
      <c r="D2" s="10">
        <f>C2*12</f>
        <v/>
      </c>
      <c r="E2" s="13" t="n">
        <v>46122</v>
      </c>
      <c r="F2" s="13" t="n">
        <v>46148</v>
      </c>
      <c r="G2" s="8" t="inlineStr">
        <is>
          <t>Activa</t>
        </is>
      </c>
      <c r="H2" s="8" t="inlineStr">
        <is>
          <t>judith.cordobes@gmail.com</t>
        </is>
      </c>
    </row>
    <row r="3">
      <c r="A3" s="8" t="inlineStr">
        <is>
          <t>Meta Verified For Business</t>
        </is>
      </c>
      <c r="B3" s="8" t="inlineStr">
        <is>
          <t>Instagram (Mensual)</t>
        </is>
      </c>
      <c r="C3" s="9" t="n">
        <v>16.99</v>
      </c>
      <c r="D3" s="10">
        <f>C3*12</f>
        <v/>
      </c>
      <c r="E3" s="13" t="n">
        <v>46124</v>
      </c>
      <c r="F3" s="13" t="n">
        <v>46154</v>
      </c>
      <c r="G3" s="8" t="inlineStr">
        <is>
          <t>Activa</t>
        </is>
      </c>
      <c r="H3" s="8" t="inlineStr">
        <is>
          <t>judith.cordobes@gmail.com</t>
        </is>
      </c>
    </row>
    <row r="4">
      <c r="A4" s="8" t="inlineStr">
        <is>
          <t>Claude (Anthropic)</t>
        </is>
      </c>
      <c r="B4" s="8" t="inlineStr">
        <is>
          <t>Pro (estimado)</t>
        </is>
      </c>
      <c r="C4" s="9" t="n">
        <v>20</v>
      </c>
      <c r="D4" s="10">
        <f>C4*12</f>
        <v/>
      </c>
      <c r="E4" s="8" t="n"/>
      <c r="F4" s="8" t="n"/>
      <c r="G4" s="8" t="inlineStr">
        <is>
          <t>Por confirmar</t>
        </is>
      </c>
      <c r="H4" s="8" t="inlineStr">
        <is>
          <t>info@civiltek.es</t>
        </is>
      </c>
    </row>
    <row r="5">
      <c r="A5" s="8" t="inlineStr">
        <is>
          <t>ChatGPT (OpenAI)</t>
        </is>
      </c>
      <c r="B5" s="8" t="inlineStr">
        <is>
          <t>Plus (estimado)</t>
        </is>
      </c>
      <c r="C5" s="9" t="n">
        <v>20</v>
      </c>
      <c r="D5" s="10">
        <f>C5*12</f>
        <v/>
      </c>
      <c r="E5" s="8" t="n"/>
      <c r="F5" s="8" t="n"/>
      <c r="G5" s="8" t="inlineStr">
        <is>
          <t>Por confirmar</t>
        </is>
      </c>
      <c r="H5" s="8" t="inlineStr">
        <is>
          <t>—</t>
        </is>
      </c>
    </row>
    <row r="6">
      <c r="A6" s="8" t="inlineStr">
        <is>
          <t>Google Workspace</t>
        </is>
      </c>
      <c r="B6" s="8" t="inlineStr">
        <is>
          <t>Business Starter</t>
        </is>
      </c>
      <c r="C6" s="9" t="n">
        <v>6</v>
      </c>
      <c r="D6" s="10">
        <f>C6*12</f>
        <v/>
      </c>
      <c r="E6" s="8" t="n"/>
      <c r="F6" s="8" t="n"/>
      <c r="G6" s="8" t="inlineStr">
        <is>
          <t>Por confirmar</t>
        </is>
      </c>
      <c r="H6" s="8" t="inlineStr">
        <is>
          <t>info@civiltek.es</t>
        </is>
      </c>
    </row>
    <row r="7">
      <c r="A7" s="8" t="inlineStr">
        <is>
          <t>Apple Developer Program</t>
        </is>
      </c>
      <c r="B7" s="8" t="inlineStr">
        <is>
          <t>Anual</t>
        </is>
      </c>
      <c r="C7" s="10">
        <f>D7/12</f>
        <v/>
      </c>
      <c r="D7" s="9" t="n">
        <v>99</v>
      </c>
      <c r="E7" s="13" t="n">
        <v>46122</v>
      </c>
      <c r="F7" s="13" t="n">
        <v>46487</v>
      </c>
      <c r="G7" s="8" t="inlineStr">
        <is>
          <t>Pendiente pago</t>
        </is>
      </c>
      <c r="H7" s="8" t="inlineStr">
        <is>
          <t>judith.cordobes@gmail.com</t>
        </is>
      </c>
    </row>
    <row r="8">
      <c r="A8" s="8" t="inlineStr">
        <is>
          <t>Expo (EAS)</t>
        </is>
      </c>
      <c r="B8" s="8" t="inlineStr">
        <is>
          <t>Free / Production</t>
        </is>
      </c>
      <c r="C8" s="9" t="n">
        <v>0</v>
      </c>
      <c r="D8" s="9" t="n">
        <v>0</v>
      </c>
      <c r="E8" s="8" t="n"/>
      <c r="F8" s="8" t="n"/>
      <c r="G8" s="8" t="inlineStr">
        <is>
          <t>Por confirmar</t>
        </is>
      </c>
      <c r="H8" s="8" t="inlineStr">
        <is>
          <t>cals2gains@gmail.com</t>
        </is>
      </c>
    </row>
    <row r="9">
      <c r="A9" s="8" t="inlineStr">
        <is>
          <t>Dominio (Doominio)</t>
        </is>
      </c>
      <c r="B9" s="8" t="inlineStr">
        <is>
          <t>cals2gains.com</t>
        </is>
      </c>
      <c r="C9" s="10" t="n"/>
      <c r="D9" s="10" t="n"/>
      <c r="E9" s="8" t="n"/>
      <c r="F9" s="8" t="n"/>
      <c r="G9" s="8" t="inlineStr">
        <is>
          <t>Por confirmar</t>
        </is>
      </c>
      <c r="H9" s="8" t="inlineStr">
        <is>
          <t>—</t>
        </is>
      </c>
    </row>
    <row r="10">
      <c r="B10" s="6" t="inlineStr">
        <is>
          <t>TOTAL MENSUAL</t>
        </is>
      </c>
      <c r="C10" s="7">
        <f>SUM(C2:C9)</f>
        <v/>
      </c>
      <c r="D10" s="7">
        <f>SUM(D2:D9)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Fecha</t>
        </is>
      </c>
      <c r="B1" s="1" t="inlineStr">
        <is>
          <t>Plataforma</t>
        </is>
      </c>
      <c r="C1" s="1" t="inlineStr">
        <is>
          <t>Campaña</t>
        </is>
      </c>
      <c r="D1" s="1" t="inlineStr">
        <is>
          <t>Gasto (EUR)</t>
        </is>
      </c>
      <c r="E1" s="1" t="inlineStr">
        <is>
          <t>Impresiones</t>
        </is>
      </c>
      <c r="F1" s="1" t="inlineStr">
        <is>
          <t>Clicks</t>
        </is>
      </c>
      <c r="G1" s="1" t="inlineStr">
        <is>
          <t>Conversiones</t>
        </is>
      </c>
      <c r="H1" s="1" t="inlineStr">
        <is>
          <t>CPA (EUR)</t>
        </is>
      </c>
      <c r="I1" s="1" t="inlineStr">
        <is>
          <t>ROAS</t>
        </is>
      </c>
    </row>
    <row r="2">
      <c r="A2" s="14" t="inlineStr">
        <is>
          <t>(datos cuando lancemos campañas)</t>
        </is>
      </c>
    </row>
  </sheetData>
  <mergeCells count="1"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Plataforma</t>
        </is>
      </c>
      <c r="C1" s="1" t="inlineStr">
        <is>
          <t>Concepto</t>
        </is>
      </c>
      <c r="D1" s="1" t="inlineStr">
        <is>
          <t>Importe bruto (EUR)</t>
        </is>
      </c>
      <c r="E1" s="1" t="inlineStr">
        <is>
          <t>Comisión store (EUR)</t>
        </is>
      </c>
      <c r="F1" s="1" t="inlineStr">
        <is>
          <t>Impuestos (EUR)</t>
        </is>
      </c>
      <c r="G1" s="1" t="inlineStr">
        <is>
          <t>Neto (EUR)</t>
        </is>
      </c>
    </row>
    <row r="2">
      <c r="A2" s="14" t="inlineStr">
        <is>
          <t>(datos cuando la app genere ingresos)</t>
        </is>
      </c>
    </row>
  </sheetData>
  <mergeCells count="1"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Concepto</t>
        </is>
      </c>
      <c r="B1" s="1" t="inlineStr">
        <is>
          <t>Abril 2026</t>
        </is>
      </c>
      <c r="C1" s="1" t="inlineStr">
        <is>
          <t>Mayo 2026</t>
        </is>
      </c>
      <c r="D1" s="1" t="inlineStr">
        <is>
          <t>Junio 2026</t>
        </is>
      </c>
      <c r="E1" s="1" t="inlineStr">
        <is>
          <t>Julio 2026</t>
        </is>
      </c>
      <c r="F1" s="1" t="inlineStr">
        <is>
          <t>Agosto 2026</t>
        </is>
      </c>
      <c r="G1" s="1" t="inlineStr">
        <is>
          <t>Septiembre 2026</t>
        </is>
      </c>
      <c r="H1" s="1" t="inlineStr">
        <is>
          <t>Octubre 2026</t>
        </is>
      </c>
      <c r="I1" s="1" t="inlineStr">
        <is>
          <t>Noviembre 2026</t>
        </is>
      </c>
      <c r="J1" s="1" t="inlineStr">
        <is>
          <t>Diciembre 2026</t>
        </is>
      </c>
    </row>
    <row r="2">
      <c r="A2" s="15" t="inlineStr">
        <is>
          <t>INGRESOS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</row>
    <row r="3">
      <c r="A3" s="8" t="inlineStr">
        <is>
          <t>Suscripciones App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>
      <c r="A4" s="8" t="inlineStr">
        <is>
          <t>In-App Purchases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>
      <c r="A5" s="8" t="inlineStr">
        <is>
          <t>Publicidad in-app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</row>
    <row r="6">
      <c r="A6" s="16" t="inlineStr">
        <is>
          <t>Total Ingresos</t>
        </is>
      </c>
      <c r="B6" s="12">
        <f>SUM(B3:B5)</f>
        <v/>
      </c>
      <c r="C6" s="12" t="n"/>
      <c r="D6" s="12" t="n"/>
      <c r="E6" s="12" t="n"/>
      <c r="F6" s="12" t="n"/>
      <c r="G6" s="12" t="n"/>
      <c r="H6" s="12" t="n"/>
      <c r="I6" s="12" t="n"/>
      <c r="J6" s="12" t="n"/>
    </row>
    <row r="7">
      <c r="A7" s="8" t="inlineStr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</row>
    <row r="8">
      <c r="A8" s="15" t="inlineStr">
        <is>
          <t>GASTOS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</row>
    <row r="9">
      <c r="A9" s="8" t="inlineStr">
        <is>
          <t>IA/Suscripciones</t>
        </is>
      </c>
      <c r="B9" s="10">
        <f>'Resumen Mensual'!B2</f>
        <v/>
      </c>
      <c r="C9" s="10" t="n"/>
      <c r="D9" s="10" t="n"/>
      <c r="E9" s="10" t="n"/>
      <c r="F9" s="10" t="n"/>
      <c r="G9" s="10" t="n"/>
      <c r="H9" s="10" t="n"/>
      <c r="I9" s="10" t="n"/>
      <c r="J9" s="10" t="n"/>
    </row>
    <row r="10">
      <c r="A10" s="8" t="inlineStr">
        <is>
          <t>App Stores</t>
        </is>
      </c>
      <c r="B10" s="10">
        <f>'Resumen Mensual'!C2</f>
        <v/>
      </c>
      <c r="C10" s="10" t="n"/>
      <c r="D10" s="10" t="n"/>
      <c r="E10" s="10" t="n"/>
      <c r="F10" s="10" t="n"/>
      <c r="G10" s="10" t="n"/>
      <c r="H10" s="10" t="n"/>
      <c r="I10" s="10" t="n"/>
      <c r="J10" s="10" t="n"/>
    </row>
    <row r="11">
      <c r="A11" s="8" t="inlineStr">
        <is>
          <t>Publicidad</t>
        </is>
      </c>
      <c r="B11" s="10">
        <f>'Resumen Mensual'!D2</f>
        <v/>
      </c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8" t="inlineStr">
        <is>
          <t>Hosting/Dominio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8" t="inlineStr">
        <is>
          <t>Herramientas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>
      <c r="A14" s="8" t="inlineStr">
        <is>
          <t>Otros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>
      <c r="A15" s="16" t="inlineStr">
        <is>
          <t>Total Gastos</t>
        </is>
      </c>
      <c r="B15" s="12">
        <f>SUM(B9:B14)</f>
        <v/>
      </c>
      <c r="C15" s="12" t="n"/>
      <c r="D15" s="12" t="n"/>
      <c r="E15" s="12" t="n"/>
      <c r="F15" s="12" t="n"/>
      <c r="G15" s="12" t="n"/>
      <c r="H15" s="12" t="n"/>
      <c r="I15" s="12" t="n"/>
      <c r="J15" s="12" t="n"/>
    </row>
    <row r="16">
      <c r="A16" s="8" t="inlineStr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>
      <c r="A17" s="16" t="inlineStr">
        <is>
          <t>RESULTADO NETO</t>
        </is>
      </c>
      <c r="B17" s="12">
        <f>B6-B15</f>
        <v/>
      </c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>
      <c r="A18" s="15" t="inlineStr">
        <is>
          <t>Margen (%)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>
      <c r="A19" s="15" t="inlineStr">
        <is>
          <t>Burn Rate (EUR/mes)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Mes</t>
        </is>
      </c>
      <c r="B1" s="1" t="inlineStr">
        <is>
          <t>Gasto publicidad (EUR)</t>
        </is>
      </c>
      <c r="C1" s="1" t="inlineStr">
        <is>
          <t>Nuevos usuarios</t>
        </is>
      </c>
      <c r="D1" s="1" t="inlineStr">
        <is>
          <t>CAC (EUR)</t>
        </is>
      </c>
      <c r="E1" s="1" t="inlineStr">
        <is>
          <t>LTV estimado (EUR)</t>
        </is>
      </c>
      <c r="F1" s="1" t="inlineStr">
        <is>
          <t>ROI (%)</t>
        </is>
      </c>
    </row>
    <row r="2">
      <c r="A2" s="8" t="inlineStr">
        <is>
          <t>Abril 2026</t>
        </is>
      </c>
      <c r="B2" s="10" t="n"/>
      <c r="C2" s="8" t="n"/>
      <c r="D2" s="10">
        <f>IF(C2&gt;0,B2/C2,0)</f>
        <v/>
      </c>
      <c r="E2" s="10" t="n"/>
      <c r="F2" s="17">
        <f>IF(B2&gt;0,(E2*C2-B2)/B2,0)</f>
        <v/>
      </c>
    </row>
    <row r="3">
      <c r="A3" s="8" t="inlineStr">
        <is>
          <t>Mayo 2026</t>
        </is>
      </c>
      <c r="B3" s="10" t="n"/>
      <c r="C3" s="8" t="n"/>
      <c r="D3" s="10">
        <f>IF(C3&gt;0,B3/C3,0)</f>
        <v/>
      </c>
      <c r="E3" s="10" t="n"/>
      <c r="F3" s="17">
        <f>IF(B3&gt;0,(E3*C3-B3)/B3,0)</f>
        <v/>
      </c>
    </row>
    <row r="4">
      <c r="A4" s="8" t="inlineStr">
        <is>
          <t>Junio 2026</t>
        </is>
      </c>
      <c r="B4" s="10" t="n"/>
      <c r="C4" s="8" t="n"/>
      <c r="D4" s="10">
        <f>IF(C4&gt;0,B4/C4,0)</f>
        <v/>
      </c>
      <c r="E4" s="10" t="n"/>
      <c r="F4" s="17">
        <f>IF(B4&gt;0,(E4*C4-B4)/B4,0)</f>
        <v/>
      </c>
    </row>
    <row r="5">
      <c r="A5" s="8" t="inlineStr">
        <is>
          <t>Julio 2026</t>
        </is>
      </c>
      <c r="B5" s="10" t="n"/>
      <c r="C5" s="8" t="n"/>
      <c r="D5" s="10">
        <f>IF(C5&gt;0,B5/C5,0)</f>
        <v/>
      </c>
      <c r="E5" s="10" t="n"/>
      <c r="F5" s="17">
        <f>IF(B5&gt;0,(E5*C5-B5)/B5,0)</f>
        <v/>
      </c>
    </row>
    <row r="6">
      <c r="A6" s="8" t="inlineStr">
        <is>
          <t>Agosto 2026</t>
        </is>
      </c>
      <c r="B6" s="10" t="n"/>
      <c r="C6" s="8" t="n"/>
      <c r="D6" s="10">
        <f>IF(C6&gt;0,B6/C6,0)</f>
        <v/>
      </c>
      <c r="E6" s="10" t="n"/>
      <c r="F6" s="17">
        <f>IF(B6&gt;0,(E6*C6-B6)/B6,0)</f>
        <v/>
      </c>
    </row>
    <row r="7">
      <c r="A7" s="8" t="inlineStr">
        <is>
          <t>Septiembre 2026</t>
        </is>
      </c>
      <c r="B7" s="10" t="n"/>
      <c r="C7" s="8" t="n"/>
      <c r="D7" s="10">
        <f>IF(C7&gt;0,B7/C7,0)</f>
        <v/>
      </c>
      <c r="E7" s="10" t="n"/>
      <c r="F7" s="17">
        <f>IF(B7&gt;0,(E7*C7-B7)/B7,0)</f>
        <v/>
      </c>
    </row>
    <row r="8">
      <c r="A8" s="8" t="inlineStr">
        <is>
          <t>Octubre 2026</t>
        </is>
      </c>
      <c r="B8" s="10" t="n"/>
      <c r="C8" s="8" t="n"/>
      <c r="D8" s="10">
        <f>IF(C8&gt;0,B8/C8,0)</f>
        <v/>
      </c>
      <c r="E8" s="10" t="n"/>
      <c r="F8" s="17">
        <f>IF(B8&gt;0,(E8*C8-B8)/B8,0)</f>
        <v/>
      </c>
    </row>
    <row r="9">
      <c r="A9" s="8" t="inlineStr">
        <is>
          <t>Noviembre 2026</t>
        </is>
      </c>
      <c r="B9" s="10" t="n"/>
      <c r="C9" s="8" t="n"/>
      <c r="D9" s="10">
        <f>IF(C9&gt;0,B9/C9,0)</f>
        <v/>
      </c>
      <c r="E9" s="10" t="n"/>
      <c r="F9" s="17">
        <f>IF(B9&gt;0,(E9*C9-B9)/B9,0)</f>
        <v/>
      </c>
    </row>
    <row r="10">
      <c r="A10" s="8" t="inlineStr">
        <is>
          <t>Diciembre 2026</t>
        </is>
      </c>
      <c r="B10" s="10" t="n"/>
      <c r="C10" s="8" t="n"/>
      <c r="D10" s="10">
        <f>IF(C10&gt;0,B10/C10,0)</f>
        <v/>
      </c>
      <c r="E10" s="10" t="n"/>
      <c r="F10" s="17">
        <f>IF(B10&gt;0,(E10*C10-B10)/B10,0)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8" t="inlineStr">
        <is>
          <t>CALS2GAINS — Dashboard Financiero</t>
        </is>
      </c>
    </row>
    <row r="3">
      <c r="A3" s="19" t="inlineStr">
        <is>
          <t>Gasto Total Acumulado</t>
        </is>
      </c>
      <c r="C3" s="19" t="inlineStr">
        <is>
          <t>Burn Rate Mensual</t>
        </is>
      </c>
      <c r="E3" s="19" t="inlineStr">
        <is>
          <t>Suscripciones Activas</t>
        </is>
      </c>
      <c r="G3" s="19" t="inlineStr">
        <is>
          <t>Ingresos Totales</t>
        </is>
      </c>
    </row>
    <row r="4">
      <c r="A4" s="20">
        <f>'Resumen Mensual'!H11</f>
        <v/>
      </c>
      <c r="C4" s="20">
        <f>'Resumen Mensual'!H2</f>
        <v/>
      </c>
      <c r="E4" s="21" t="n">
        <v>2</v>
      </c>
      <c r="G4" s="21" t="n">
        <v>0</v>
      </c>
    </row>
    <row r="6">
      <c r="A6" s="6" t="inlineStr">
        <is>
          <t>Categoría</t>
        </is>
      </c>
      <c r="B6" s="6" t="inlineStr">
        <is>
          <t>Gasto Abril (EUR)</t>
        </is>
      </c>
    </row>
    <row r="7">
      <c r="A7" s="22" t="inlineStr">
        <is>
          <t>IA/Suscripciones</t>
        </is>
      </c>
      <c r="B7" s="23">
        <f>'Resumen Mensual'!B2</f>
        <v/>
      </c>
    </row>
    <row r="8">
      <c r="A8" s="22" t="inlineStr">
        <is>
          <t>App Stores</t>
        </is>
      </c>
      <c r="B8" s="23">
        <f>'Resumen Mensual'!C2</f>
        <v/>
      </c>
    </row>
    <row r="9">
      <c r="A9" s="22" t="inlineStr">
        <is>
          <t>Publicidad</t>
        </is>
      </c>
      <c r="B9" s="23">
        <f>'Resumen Mensual'!D2</f>
        <v/>
      </c>
    </row>
    <row r="10">
      <c r="A10" s="22" t="inlineStr">
        <is>
          <t>Hosting/Dominio</t>
        </is>
      </c>
      <c r="B10" s="23" t="n">
        <v>0</v>
      </c>
    </row>
    <row r="11">
      <c r="A11" s="22" t="inlineStr">
        <is>
          <t>Herramientas</t>
        </is>
      </c>
      <c r="B11" s="23" t="n">
        <v>0</v>
      </c>
    </row>
    <row r="12">
      <c r="A12" s="22" t="inlineStr">
        <is>
          <t>Otros</t>
        </is>
      </c>
      <c r="B12" s="23" t="n">
        <v>0</v>
      </c>
    </row>
  </sheetData>
  <mergeCells count="9">
    <mergeCell ref="A4:B4"/>
    <mergeCell ref="G4:H4"/>
    <mergeCell ref="E4:F4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2026-04-13T12:56:49Z</dcterms:created>
  <dcterms:modified xsi:type="dcterms:W3CDTF">2026-04-13T12:56:49Z</dcterms:modified>
</cp:coreProperties>
</file>